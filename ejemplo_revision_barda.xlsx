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r fuente" sheetId="2" state="visible" r:id="rId4"/>
    <sheet name="Evidencia" sheetId="3" state="visible" r:id="rId5"/>
    <sheet name="Metodologí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<sst xmlns="http://schemas.openxmlformats.org/spreadsheetml/2006/main" count="241" uniqueCount="113">
  <si>
    <t xml:space="preserve">Revisión de cotización CAPEX</t>
  </si>
  <si>
    <t xml:space="preserve">Proveedor: — · Proyecto: — · Generado 30/09/2026. Azul = dato capturado; negro = fórmula.</t>
  </si>
  <si>
    <t xml:space="preserve">#</t>
  </si>
  <si>
    <t xml:space="preserve">Concepto</t>
  </si>
  <si>
    <t xml:space="preserve">Unidad</t>
  </si>
  <si>
    <t xml:space="preserve">Cantidad</t>
  </si>
  <si>
    <t xml:space="preserve">P.U. cotizado</t>
  </si>
  <si>
    <t xml:space="preserve">Importe cotizado</t>
  </si>
  <si>
    <t xml:space="preserve">Semáforo final</t>
  </si>
  <si>
    <t xml:space="preserve">Fuentes validadas</t>
  </si>
  <si>
    <t xml:space="preserve">Referencia para negociar</t>
  </si>
  <si>
    <t xml:space="preserve">P.U. de negociación</t>
  </si>
  <si>
    <t xml:space="preserve">% vs negociación</t>
  </si>
  <si>
    <t xml:space="preserve">Ahorro potencial</t>
  </si>
  <si>
    <t xml:space="preserve">Nota</t>
  </si>
  <si>
    <t xml:space="preserve">1</t>
  </si>
  <si>
    <t xml:space="preserve">MURO DE BLOCK DEL NÚM. 6, PERÍMETRO DE PLACA NUEVA A 60 CM DE ALTURA.</t>
  </si>
  <si>
    <t xml:space="preserve">M2</t>
  </si>
  <si>
    <t xml:space="preserve">MIXTO</t>
  </si>
  <si>
    <t xml:space="preserve">Nuevo León, CDMX</t>
  </si>
  <si>
    <t xml:space="preserve">Nuevo León</t>
  </si>
  <si>
    <t xml:space="preserve">Nuevo León: ALTO / CDMX: EN MERCADO</t>
  </si>
  <si>
    <t xml:space="preserve">2</t>
  </si>
  <si>
    <t xml:space="preserve">CERRAMIENTO PERIMETRAL PARA SOSTENER MURO DE BLOCK. ARMADO CON ARMEX Y CONCRETO HECHO EN OBRA.</t>
  </si>
  <si>
    <t xml:space="preserve">M</t>
  </si>
  <si>
    <t xml:space="preserve">NO CONCLUYENTE</t>
  </si>
  <si>
    <t xml:space="preserve">—</t>
  </si>
  <si>
    <t xml:space="preserve">solo hay referencias orientativas; revisar antes de negociar</t>
  </si>
  <si>
    <t xml:space="preserve">3</t>
  </si>
  <si>
    <t xml:space="preserve">ESTUCO EN BARDA TANTO POR FUERA COMO POR DENTRO.</t>
  </si>
  <si>
    <t xml:space="preserve">ALTO</t>
  </si>
  <si>
    <t xml:space="preserve">4</t>
  </si>
  <si>
    <t xml:space="preserve">COLUMNAS PARA AMARRAR BARDA.</t>
  </si>
  <si>
    <t xml:space="preserve">PZA</t>
  </si>
  <si>
    <t xml:space="preserve">SIN DATOS SUFICIENTES</t>
  </si>
  <si>
    <t xml:space="preserve">TOTAL</t>
  </si>
  <si>
    <t xml:space="preserve">Ahorro potencial sobre el importe</t>
  </si>
  <si>
    <t xml:space="preserve">Comparación independiente por fuente</t>
  </si>
  <si>
    <t xml:space="preserve">Cada fuente se compara por separado (sin promediar). Solo las referencias VALIDADAS tienen semáforo. Semáforo: ±5 % = EN MERCADO.</t>
  </si>
  <si>
    <t xml:space="preserve">Histórico Ragasa
precio ref.</t>
  </si>
  <si>
    <t xml:space="preserve">Histórico Ragasa
estado</t>
  </si>
  <si>
    <t xml:space="preserve">Histórico Ragasa
% vs cotizado</t>
  </si>
  <si>
    <t xml:space="preserve">Histórico Ragasa
semáforo</t>
  </si>
  <si>
    <t xml:space="preserve">Nuevo León
precio ref.</t>
  </si>
  <si>
    <t xml:space="preserve">Nuevo León
estado</t>
  </si>
  <si>
    <t xml:space="preserve">Nuevo León
% vs cotizado</t>
  </si>
  <si>
    <t xml:space="preserve">Nuevo León
semáforo</t>
  </si>
  <si>
    <t xml:space="preserve">CDMX
precio ref.</t>
  </si>
  <si>
    <t xml:space="preserve">CDMX
estado</t>
  </si>
  <si>
    <t xml:space="preserve">CDMX
% vs cotizado</t>
  </si>
  <si>
    <t xml:space="preserve">CDMX
semáforo</t>
  </si>
  <si>
    <t xml:space="preserve">IA internet
precio ref.</t>
  </si>
  <si>
    <t xml:space="preserve">IA internet
estado</t>
  </si>
  <si>
    <t xml:space="preserve">IA internet
% vs cotizado</t>
  </si>
  <si>
    <t xml:space="preserve">IA internet
semáforo</t>
  </si>
  <si>
    <t xml:space="preserve">SIN DATO</t>
  </si>
  <si>
    <t xml:space="preserve">VALIDADA</t>
  </si>
  <si>
    <t xml:space="preserve">RECHAZADA</t>
  </si>
  <si>
    <t xml:space="preserve">Evidencia de cada referencia</t>
  </si>
  <si>
    <t xml:space="preserve">Por qué cada referencia quedó VALIDADA, NO CONCLUYENTE, POR CONFIRMAR, RECHAZADA o SIN DATO.</t>
  </si>
  <si>
    <t xml:space="preserve">Concepto cotizado</t>
  </si>
  <si>
    <t xml:space="preserve">Fuente</t>
  </si>
  <si>
    <t xml:space="preserve">Estado</t>
  </si>
  <si>
    <t xml:space="preserve">Motivo / verificaciones</t>
  </si>
  <si>
    <t xml:space="preserve">Concepto encontrado en la fuente</t>
  </si>
  <si>
    <t xml:space="preserve">Confianza texto</t>
  </si>
  <si>
    <t xml:space="preserve">P.U. referencia</t>
  </si>
  <si>
    <t xml:space="preserve">Revisión IA</t>
  </si>
  <si>
    <t xml:space="preserve">Evidencia web (frase o URL)</t>
  </si>
  <si>
    <t xml:space="preserve">Histórico Ragasa</t>
  </si>
  <si>
    <t xml:space="preserve">la fuente no encontró un concepto comparable</t>
  </si>
  <si>
    <t xml:space="preserve">coincidencia de texto ALTA, unidad igual, dato 2022, escala coherente</t>
  </si>
  <si>
    <t xml:space="preserve">SUMINISTRO Y COLOCACION DE MURO DE BLOCK DE CONCRETO DE DOS HUECOS CURADO AL VAPOR DE 15 X 20 X 40 C</t>
  </si>
  <si>
    <t xml:space="preserve">ALTA</t>
  </si>
  <si>
    <t xml:space="preserve">CDMX</t>
  </si>
  <si>
    <t xml:space="preserve">coincidencia de texto ALTA, unidad igual, escala coherente</t>
  </si>
  <si>
    <t xml:space="preserve">Muro de block de concreto liso de 15 cm de espesor, medidas 15 x 20 x 40 cm con refuerzo horizontal a cada dos hiladas.</t>
  </si>
  <si>
    <t xml:space="preserve">IA internet</t>
  </si>
  <si>
    <t xml:space="preserve">Se descartó $9,500.00: fuera de escala frente al precio cotizado (probablemente otra unidad o un total).</t>
  </si>
  <si>
    <t xml:space="preserve">la IA no pudo confirmarla: prueba</t>
  </si>
  <si>
    <t xml:space="preserve">CERRAMIENTO DE CONCRETO DE 15 X 20 CM FABRICADO CON CONCRETO DE F C 150 KG/CM2 HECHO EN OBRA</t>
  </si>
  <si>
    <t xml:space="preserve">MEDIA</t>
  </si>
  <si>
    <t xml:space="preserve">NO_SEGURO: prueba</t>
  </si>
  <si>
    <t xml:space="preserve">sin coincidencia ni relajada en unidad ML</t>
  </si>
  <si>
    <t xml:space="preserve">SUMINISTRO Y COLOCACION DE APLANADO DE ESTUCO DE HASTA 1.5 CM DE ESPESOR EN MUROS NUEVOS PLOMEADO Y MUESTREADO. INCLUYE MATERIALES HERRAMIENTA EQUIPO ELEVACIONES ACARREOS ANDAMIAJES MANO DE OBRA Y TODO LO NECESARIO PARA SU CORRECTA EJECUCION.</t>
  </si>
  <si>
    <t xml:space="preserve">la IA la rechazó: prueba</t>
  </si>
  <si>
    <t xml:space="preserve">Aplanado pulido con plana de madera, en muros, con mortero cemento-arena en proporción 1:6, de 2.0 cm de espesor, incluye: el repellado.</t>
  </si>
  <si>
    <t xml:space="preserve">RECHAZA: prueba</t>
  </si>
  <si>
    <t xml:space="preserve">Se descartó $90.00: fuera de escala frente al precio cotizado (probablemente otra unidad o un total).</t>
  </si>
  <si>
    <t xml:space="preserve">SUMINISTRO HABILITADO Y MONTAJE DE BASES PARA COLUMNAS METALICAS COMPUESTAS POR PLACA DE ACE</t>
  </si>
  <si>
    <t xml:space="preserve">BAJA</t>
  </si>
  <si>
    <t xml:space="preserve">sin coincidencia ni relajada en unidad PZA</t>
  </si>
  <si>
    <t xml:space="preserve">Se descartó $218,693.58: fuera de escala frente al precio cotizado (probablemente otra unidad o un total).</t>
  </si>
  <si>
    <t xml:space="preserve">Metodología de validación</t>
  </si>
  <si>
    <t xml:space="preserve">Cómo se decide qué referencias cuentan.</t>
  </si>
  <si>
    <t xml:space="preserve">Regla</t>
  </si>
  <si>
    <t xml:space="preserve">Aplicación</t>
  </si>
  <si>
    <t xml:space="preserve">RECHAZA (IA)</t>
  </si>
  <si>
    <t xml:space="preserve">La referencia se excluye del precio de negociación, de las diferencias y del semáforo. Queda solo como evidencia.</t>
  </si>
  <si>
    <t xml:space="preserve">NO_SEGURO (IA)</t>
  </si>
  <si>
    <t xml:space="preserve">Se conserva como orientativa (NO CONCLUYENTE): se muestra su precio y su %, pero no decide el semáforo.</t>
  </si>
  <si>
    <t xml:space="preserve">CONFIRMA (IA)</t>
  </si>
  <si>
    <t xml:space="preserve">Además se verifica unidad (misma unidad), alcance (suministro vs. instalación), antigüedad del dato (máx. 5 años) y escala del precio (dentro de 5× del cotizado).</t>
  </si>
  <si>
    <t xml:space="preserve">Coincidencia débil</t>
  </si>
  <si>
    <t xml:space="preserve">Si la coincidencia de texto es BAJA y la IA no la confirmó: POR CONFIRMAR (orientativa).</t>
  </si>
  <si>
    <t xml:space="preserve">Precio web</t>
  </si>
  <si>
    <t xml:space="preserve">Debe aparecer en la misma frase que el concepto y la unidad. Un fragmento web sin validar es orientativo; solo un precio de Gemini con fuente y frase verificadas puede quedar VALIDADO.</t>
  </si>
  <si>
    <t xml:space="preserve">Sin promedios</t>
  </si>
  <si>
    <t xml:space="preserve">Cada fuente se compara por separado. El P.U. de negociación sale de UNA referencia validada, con prioridad: Histórico Ragasa &gt; Nuevo León &gt; CDMX &gt; IA internet.</t>
  </si>
  <si>
    <t xml:space="preserve">Todas las validadas coinciden = ese semáforo. Si discrepan = MIXTO. Sin validadas pero con orientativas = NO CONCLUYENTE. Sin nada = SIN DATOS SUFICIENTES. EN MERCADO = ±5 % de la referencia.</t>
  </si>
  <si>
    <t xml:space="preserve">Mediana del tabulador homologado de licitaciones de NL, actualizada a hoy con INPC (INEGI).</t>
  </si>
  <si>
    <t xml:space="preserve">Tabulador General de Precios Unitarios del Gobierno de la CDMX.</t>
  </si>
  <si>
    <t xml:space="preserve">Cotizaciones guardadas previamente en el histórico interno (Google Sheets).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</si>
</sst>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$#,##0.00;&quot;($&quot;#,##0.00\);\—"/>
    <numFmt numFmtId="167" formatCode="\+0.0%;\-0.0%;0.0%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4532D"/>
      </patternFill>
    </fill>
    <fill>
      <patternFill patternType="solid">
        <fgColor rgb="FF2E5496"/>
        <bgColor rgb="FF47546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712121"/>
      </font>
      <fill>
        <patternFill>
          <bgColor rgb="FFF8C9C9"/>
        </patternFill>
      </fill>
    </dxf>
    <dxf>
      <font>
        <b val="1"/>
        <color rgb="FF14532D"/>
      </font>
      <fill>
        <patternFill>
          <bgColor rgb="FFCCEBD2"/>
        </patternFill>
      </fill>
    </dxf>
    <dxf>
      <font>
        <b val="1"/>
        <color rgb="FF705000"/>
      </font>
      <fill>
        <patternFill>
          <bgColor rgb="FFFFF0BB"/>
        </patternFill>
      </fill>
    </dxf>
    <dxf>
      <font>
        <b val="1"/>
        <color rgb="FF475467"/>
      </font>
      <fill>
        <patternFill>
          <bgColor rgb="FFE4E7EB"/>
        </patternFill>
      </fill>
    </dxf>
    <dxf>
      <font>
        <b val="1"/>
        <color rgb="FF14532D"/>
      </font>
    </dxf>
    <dxf>
      <font>
        <b val="1"/>
        <color rgb="FF712121"/>
      </font>
    </dxf>
    <dxf>
      <font>
        <b val="1"/>
        <color rgb="FF705000"/>
      </font>
    </dxf>
    <dxf>
      <font>
        <b val="1"/>
        <color rgb="FF475467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5000"/>
      <rgbColor rgb="FF800080"/>
      <rgbColor rgb="FF008080"/>
      <rgbColor rgb="FFBFBFBF"/>
      <rgbColor rgb="FF808080"/>
      <rgbColor rgb="FF9999FF"/>
      <rgbColor rgb="FF993366"/>
      <rgbColor rgb="FFFFF0BB"/>
      <rgbColor rgb="FFE4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EBD2"/>
      <rgbColor rgb="FFFFFF99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75467"/>
      <rgbColor rgb="FF712121"/>
      <rgbColor rgb="FF993366"/>
      <rgbColor rgb="FF2E5496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3.85" hidden="false" customHeight="false" outlineLevel="0" collapsed="false">
      <c r="A5" s="4" t="s">
        <v>15</v>
      </c>
      <c r="B5" s="5" t="s">
        <v>16</v>
      </c>
      <c r="C5" s="4" t="s">
        <v>17</v>
      </c>
      <c r="D5" s="6" t="n">
        <v>16</v>
      </c>
      <c r="E5" s="7" t="n">
        <v>550</v>
      </c>
      <c r="F5" s="8" t="n">
        <f aca="false">D5*E5</f>
        <v>8800</v>
      </c>
      <c r="G5" s="9" t="s">
        <v>18</v>
      </c>
      <c r="H5" s="5" t="s">
        <v>19</v>
      </c>
      <c r="I5" s="10" t="s">
        <v>20</v>
      </c>
      <c r="J5" s="8" t="n">
        <f aca="false">'Por fuente'!I5</f>
        <v>407.95</v>
      </c>
      <c r="K5" s="11" t="n">
        <f aca="false">IF(J5="","",E5/J5-1)</f>
        <v>0.348204436818238</v>
      </c>
      <c r="L5" s="8" t="n">
        <f aca="false">IF(J5="",0,MAX(0,(E5-J5)*D5))</f>
        <v>2272.8</v>
      </c>
      <c r="M5" s="5" t="s">
        <v>21</v>
      </c>
    </row>
    <row r="6" customFormat="false" ht="35.05" hidden="false" customHeight="false" outlineLevel="0" collapsed="false">
      <c r="A6" s="4" t="s">
        <v>22</v>
      </c>
      <c r="B6" s="5" t="s">
        <v>23</v>
      </c>
      <c r="C6" s="4" t="s">
        <v>24</v>
      </c>
      <c r="D6" s="6" t="n">
        <v>27</v>
      </c>
      <c r="E6" s="7" t="n">
        <v>450</v>
      </c>
      <c r="F6" s="8" t="n">
        <f aca="false">D6*E6</f>
        <v>12150</v>
      </c>
      <c r="G6" s="9" t="s">
        <v>25</v>
      </c>
      <c r="H6" s="5" t="s">
        <v>26</v>
      </c>
      <c r="I6" s="10" t="s">
        <v>26</v>
      </c>
      <c r="J6" s="8"/>
      <c r="K6" s="11" t="str">
        <f aca="false">IF(J6="","",E6/J6-1)</f>
        <v/>
      </c>
      <c r="L6" s="8" t="n">
        <f aca="false">IF(J6="",0,MAX(0,(E6-J6)*D6))</f>
        <v>0</v>
      </c>
      <c r="M6" s="5" t="s">
        <v>27</v>
      </c>
    </row>
    <row r="7" customFormat="false" ht="23.85" hidden="false" customHeight="false" outlineLevel="0" collapsed="false">
      <c r="A7" s="4" t="s">
        <v>28</v>
      </c>
      <c r="B7" s="5" t="s">
        <v>29</v>
      </c>
      <c r="C7" s="4" t="s">
        <v>17</v>
      </c>
      <c r="D7" s="6" t="n">
        <v>59</v>
      </c>
      <c r="E7" s="7" t="n">
        <v>290</v>
      </c>
      <c r="F7" s="8" t="n">
        <f aca="false">D7*E7</f>
        <v>17110</v>
      </c>
      <c r="G7" s="9" t="s">
        <v>30</v>
      </c>
      <c r="H7" s="5" t="s">
        <v>20</v>
      </c>
      <c r="I7" s="10" t="s">
        <v>20</v>
      </c>
      <c r="J7" s="8" t="n">
        <f aca="false">'Por fuente'!I7</f>
        <v>130.63</v>
      </c>
      <c r="K7" s="11" t="n">
        <f aca="false">IF(J7="","",E7/J7-1)</f>
        <v>1.22001071729312</v>
      </c>
      <c r="L7" s="8" t="n">
        <f aca="false">IF(J7="",0,MAX(0,(E7-J7)*D7))</f>
        <v>9402.83</v>
      </c>
      <c r="M7" s="5"/>
    </row>
    <row r="8" customFormat="false" ht="15" hidden="false" customHeight="false" outlineLevel="0" collapsed="false">
      <c r="A8" s="4" t="s">
        <v>31</v>
      </c>
      <c r="B8" s="5" t="s">
        <v>32</v>
      </c>
      <c r="C8" s="4" t="s">
        <v>33</v>
      </c>
      <c r="D8" s="6" t="n">
        <v>9</v>
      </c>
      <c r="E8" s="7" t="n">
        <v>400</v>
      </c>
      <c r="F8" s="8" t="n">
        <f aca="false">D8*E8</f>
        <v>3600</v>
      </c>
      <c r="G8" s="9" t="s">
        <v>34</v>
      </c>
      <c r="H8" s="5" t="s">
        <v>26</v>
      </c>
      <c r="I8" s="10" t="s">
        <v>26</v>
      </c>
      <c r="J8" s="8"/>
      <c r="K8" s="11" t="str">
        <f aca="false">IF(J8="","",E8/J8-1)</f>
        <v/>
      </c>
      <c r="L8" s="8" t="n">
        <f aca="false">IF(J8="",0,MAX(0,(E8-J8)*D8))</f>
        <v>0</v>
      </c>
      <c r="M8" s="5"/>
    </row>
    <row r="9" customFormat="false" ht="15" hidden="false" customHeight="false" outlineLevel="0" collapsed="false">
      <c r="B9" s="12" t="s">
        <v>35</v>
      </c>
      <c r="F9" s="13" t="n">
        <f aca="false">SUM(F5:F8)</f>
        <v>41660</v>
      </c>
      <c r="L9" s="13" t="n">
        <f aca="false">SUM(L5:L8)</f>
        <v>11675.63</v>
      </c>
    </row>
    <row r="10" customFormat="false" ht="15" hidden="false" customHeight="false" outlineLevel="0" collapsed="false">
      <c r="B10" s="12" t="s">
        <v>36</v>
      </c>
      <c r="L10" s="14" t="n">
        <f aca="false">IF(F9=0,"",L9/F9)</f>
        <v>0.280259961593855</v>
      </c>
    </row>
  </sheetData>
  <mergeCells count="2">
    <mergeCell ref="A1:M1"/>
    <mergeCell ref="A2:M2"/>
  </mergeCells>
  <conditionalFormatting sqref="G5:G8">
    <cfRule type="cellIs" priority="2" operator="equal" aboveAverage="0" equalAverage="0" bottom="0" percent="0" rank="0" text="" dxfId="0">
      <formula>"ALTO"</formula>
    </cfRule>
    <cfRule type="cellIs" priority="3" operator="equal" aboveAverage="0" equalAverage="0" bottom="0" percent="0" rank="0" text="" dxfId="1">
      <formula>"BAJO"</formula>
    </cfRule>
    <cfRule type="cellIs" priority="4" operator="equal" aboveAverage="0" equalAverage="0" bottom="0" percent="0" rank="0" text="" dxfId="2">
      <formula>"EN MERCADO"</formula>
    </cfRule>
    <cfRule type="cellIs" priority="5" operator="equal" aboveAverage="0" equalAverage="0" bottom="0" percent="0" rank="0" text="" dxfId="3">
      <formula>"MIXTO"</formula>
    </cfRule>
    <cfRule type="cellIs" priority="6" operator="equal" aboveAverage="0" equalAverage="0" bottom="0" percent="0" rank="0" text="" dxfId="3">
      <formula>"NO CONCLUYENTE"</formula>
    </cfRule>
    <cfRule type="cellIs" priority="7" operator="equal" aboveAverage="0" equalAverage="0" bottom="0" percent="0" rank="0" text="" dxfId="3">
      <formula>"SIN DATOS SUFICIENTES"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0" min="20" style="0" width="12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6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</row>
    <row r="5" customFormat="false" ht="23.85" hidden="false" customHeight="false" outlineLevel="0" collapsed="false">
      <c r="A5" s="4" t="s">
        <v>15</v>
      </c>
      <c r="B5" s="5" t="s">
        <v>16</v>
      </c>
      <c r="C5" s="4" t="s">
        <v>17</v>
      </c>
      <c r="D5" s="7" t="n">
        <v>550</v>
      </c>
      <c r="E5" s="7"/>
      <c r="F5" s="4" t="s">
        <v>55</v>
      </c>
      <c r="G5" s="11" t="str">
        <f aca="false">IF(OR(E5="",F5="RECHAZADA",F5="SIN DATO"),"",D5/E5-1)</f>
        <v/>
      </c>
      <c r="H5" s="4" t="str">
        <f aca="false">IF(F5&lt;&gt;"VALIDADA","",IF(D5&gt;E5*1.05,"ALTO",IF(D5&lt;E5*0.95,"BAJO","EN MERCADO")))</f>
        <v/>
      </c>
      <c r="I5" s="7" t="n">
        <v>407.95</v>
      </c>
      <c r="J5" s="4" t="s">
        <v>56</v>
      </c>
      <c r="K5" s="11" t="n">
        <f aca="false">IF(OR(I5="",J5="RECHAZADA",J5="SIN DATO"),"",D5/I5-1)</f>
        <v>0.348204436818238</v>
      </c>
      <c r="L5" s="4" t="str">
        <f aca="false">IF(J5&lt;&gt;"VALIDADA","",IF(D5&gt;I5*1.05,"ALTO",IF(D5&lt;I5*0.95,"BAJO","EN MERCADO")))</f>
        <v>ALTO</v>
      </c>
      <c r="M5" s="7" t="n">
        <v>548.14</v>
      </c>
      <c r="N5" s="4" t="s">
        <v>56</v>
      </c>
      <c r="O5" s="11" t="n">
        <f aca="false">IF(OR(M5="",N5="RECHAZADA",N5="SIN DATO"),"",D5/M5-1)</f>
        <v>0.00339329368409524</v>
      </c>
      <c r="P5" s="4" t="str">
        <f aca="false">IF(N5&lt;&gt;"VALIDADA","",IF(D5&gt;M5*1.05,"ALTO",IF(D5&lt;M5*0.95,"BAJO","EN MERCADO")))</f>
        <v>EN MERCADO</v>
      </c>
      <c r="Q5" s="7"/>
      <c r="R5" s="4" t="s">
        <v>55</v>
      </c>
      <c r="S5" s="11" t="str">
        <f aca="false">IF(OR(Q5="",R5="RECHAZADA",R5="SIN DATO"),"",D5/Q5-1)</f>
        <v/>
      </c>
      <c r="T5" s="4" t="str">
        <f aca="false">IF(R5&lt;&gt;"VALIDADA","",IF(D5&gt;Q5*1.05,"ALTO",IF(D5&lt;Q5*0.95,"BAJO","EN MERCADO")))</f>
        <v/>
      </c>
    </row>
    <row r="6" customFormat="false" ht="35.05" hidden="false" customHeight="false" outlineLevel="0" collapsed="false">
      <c r="A6" s="4" t="s">
        <v>22</v>
      </c>
      <c r="B6" s="5" t="s">
        <v>23</v>
      </c>
      <c r="C6" s="4" t="s">
        <v>24</v>
      </c>
      <c r="D6" s="7" t="n">
        <v>450</v>
      </c>
      <c r="E6" s="7"/>
      <c r="F6" s="4" t="s">
        <v>55</v>
      </c>
      <c r="G6" s="11" t="str">
        <f aca="false">IF(OR(E6="",F6="RECHAZADA",F6="SIN DATO"),"",D6/E6-1)</f>
        <v/>
      </c>
      <c r="H6" s="4" t="str">
        <f aca="false">IF(F6&lt;&gt;"VALIDADA","",IF(D6&gt;E6*1.05,"ALTO",IF(D6&lt;E6*0.95,"BAJO","EN MERCADO")))</f>
        <v/>
      </c>
      <c r="I6" s="7" t="n">
        <v>492.4</v>
      </c>
      <c r="J6" s="4" t="s">
        <v>25</v>
      </c>
      <c r="K6" s="11" t="n">
        <f aca="false">IF(OR(I6="",J6="RECHAZADA",J6="SIN DATO"),"",D6/I6-1)</f>
        <v>-0.0861088545897644</v>
      </c>
      <c r="L6" s="4" t="str">
        <f aca="false">IF(J6&lt;&gt;"VALIDADA","",IF(D6&gt;I6*1.05,"ALTO",IF(D6&lt;I6*0.95,"BAJO","EN MERCADO")))</f>
        <v/>
      </c>
      <c r="M6" s="7"/>
      <c r="N6" s="4" t="s">
        <v>55</v>
      </c>
      <c r="O6" s="11" t="str">
        <f aca="false">IF(OR(M6="",N6="RECHAZADA",N6="SIN DATO"),"",D6/M6-1)</f>
        <v/>
      </c>
      <c r="P6" s="4" t="str">
        <f aca="false">IF(N6&lt;&gt;"VALIDADA","",IF(D6&gt;M6*1.05,"ALTO",IF(D6&lt;M6*0.95,"BAJO","EN MERCADO")))</f>
        <v/>
      </c>
      <c r="Q6" s="7"/>
      <c r="R6" s="4" t="s">
        <v>55</v>
      </c>
      <c r="S6" s="11" t="str">
        <f aca="false">IF(OR(Q6="",R6="RECHAZADA",R6="SIN DATO"),"",D6/Q6-1)</f>
        <v/>
      </c>
      <c r="T6" s="4" t="str">
        <f aca="false">IF(R6&lt;&gt;"VALIDADA","",IF(D6&gt;Q6*1.05,"ALTO",IF(D6&lt;Q6*0.95,"BAJO","EN MERCADO")))</f>
        <v/>
      </c>
    </row>
    <row r="7" customFormat="false" ht="23.85" hidden="false" customHeight="false" outlineLevel="0" collapsed="false">
      <c r="A7" s="4" t="s">
        <v>28</v>
      </c>
      <c r="B7" s="5" t="s">
        <v>29</v>
      </c>
      <c r="C7" s="4" t="s">
        <v>17</v>
      </c>
      <c r="D7" s="7" t="n">
        <v>290</v>
      </c>
      <c r="E7" s="7"/>
      <c r="F7" s="4" t="s">
        <v>55</v>
      </c>
      <c r="G7" s="11" t="str">
        <f aca="false">IF(OR(E7="",F7="RECHAZADA",F7="SIN DATO"),"",D7/E7-1)</f>
        <v/>
      </c>
      <c r="H7" s="4" t="str">
        <f aca="false">IF(F7&lt;&gt;"VALIDADA","",IF(D7&gt;E7*1.05,"ALTO",IF(D7&lt;E7*0.95,"BAJO","EN MERCADO")))</f>
        <v/>
      </c>
      <c r="I7" s="7" t="n">
        <v>130.63</v>
      </c>
      <c r="J7" s="4" t="s">
        <v>56</v>
      </c>
      <c r="K7" s="11" t="n">
        <f aca="false">IF(OR(I7="",J7="RECHAZADA",J7="SIN DATO"),"",D7/I7-1)</f>
        <v>1.22001071729312</v>
      </c>
      <c r="L7" s="4" t="str">
        <f aca="false">IF(J7&lt;&gt;"VALIDADA","",IF(D7&gt;I7*1.05,"ALTO",IF(D7&lt;I7*0.95,"BAJO","EN MERCADO")))</f>
        <v>ALTO</v>
      </c>
      <c r="M7" s="7" t="n">
        <v>219.12</v>
      </c>
      <c r="N7" s="4" t="s">
        <v>57</v>
      </c>
      <c r="O7" s="11" t="str">
        <f aca="false">IF(OR(M7="",N7="RECHAZADA",N7="SIN DATO"),"",D7/M7-1)</f>
        <v/>
      </c>
      <c r="P7" s="4" t="str">
        <f aca="false">IF(N7&lt;&gt;"VALIDADA","",IF(D7&gt;M7*1.05,"ALTO",IF(D7&lt;M7*0.95,"BAJO","EN MERCADO")))</f>
        <v/>
      </c>
      <c r="Q7" s="7"/>
      <c r="R7" s="4" t="s">
        <v>55</v>
      </c>
      <c r="S7" s="11" t="str">
        <f aca="false">IF(OR(Q7="",R7="RECHAZADA",R7="SIN DATO"),"",D7/Q7-1)</f>
        <v/>
      </c>
      <c r="T7" s="4" t="str">
        <f aca="false">IF(R7&lt;&gt;"VALIDADA","",IF(D7&gt;Q7*1.05,"ALTO",IF(D7&lt;Q7*0.95,"BAJO","EN MERCADO")))</f>
        <v/>
      </c>
    </row>
    <row r="8" customFormat="false" ht="15" hidden="false" customHeight="false" outlineLevel="0" collapsed="false">
      <c r="A8" s="4" t="s">
        <v>31</v>
      </c>
      <c r="B8" s="5" t="s">
        <v>32</v>
      </c>
      <c r="C8" s="4" t="s">
        <v>33</v>
      </c>
      <c r="D8" s="7" t="n">
        <v>400</v>
      </c>
      <c r="E8" s="7"/>
      <c r="F8" s="4" t="s">
        <v>55</v>
      </c>
      <c r="G8" s="11" t="str">
        <f aca="false">IF(OR(E8="",F8="RECHAZADA",F8="SIN DATO"),"",D8/E8-1)</f>
        <v/>
      </c>
      <c r="H8" s="4" t="str">
        <f aca="false">IF(F8&lt;&gt;"VALIDADA","",IF(D8&gt;E8*1.05,"ALTO",IF(D8&lt;E8*0.95,"BAJO","EN MERCADO")))</f>
        <v/>
      </c>
      <c r="I8" s="7" t="n">
        <v>542.36</v>
      </c>
      <c r="J8" s="4" t="s">
        <v>57</v>
      </c>
      <c r="K8" s="11" t="str">
        <f aca="false">IF(OR(I8="",J8="RECHAZADA",J8="SIN DATO"),"",D8/I8-1)</f>
        <v/>
      </c>
      <c r="L8" s="4" t="str">
        <f aca="false">IF(J8&lt;&gt;"VALIDADA","",IF(D8&gt;I8*1.05,"ALTO",IF(D8&lt;I8*0.95,"BAJO","EN MERCADO")))</f>
        <v/>
      </c>
      <c r="M8" s="7"/>
      <c r="N8" s="4" t="s">
        <v>55</v>
      </c>
      <c r="O8" s="11" t="str">
        <f aca="false">IF(OR(M8="",N8="RECHAZADA",N8="SIN DATO"),"",D8/M8-1)</f>
        <v/>
      </c>
      <c r="P8" s="4" t="str">
        <f aca="false">IF(N8&lt;&gt;"VALIDADA","",IF(D8&gt;M8*1.05,"ALTO",IF(D8&lt;M8*0.95,"BAJO","EN MERCADO")))</f>
        <v/>
      </c>
      <c r="Q8" s="7"/>
      <c r="R8" s="4" t="s">
        <v>55</v>
      </c>
      <c r="S8" s="11" t="str">
        <f aca="false">IF(OR(Q8="",R8="RECHAZADA",R8="SIN DATO"),"",D8/Q8-1)</f>
        <v/>
      </c>
      <c r="T8" s="4" t="str">
        <f aca="false">IF(R8&lt;&gt;"VALIDADA","",IF(D8&gt;Q8*1.05,"ALTO",IF(D8&lt;Q8*0.95,"BAJO","EN MERCADO")))</f>
        <v/>
      </c>
    </row>
  </sheetData>
  <mergeCells count="2">
    <mergeCell ref="A1:T1"/>
    <mergeCell ref="A2:T2"/>
  </mergeCells>
  <conditionalFormatting sqref="H5">
    <cfRule type="cellIs" priority="2" operator="equal" aboveAverage="0" equalAverage="0" bottom="0" percent="0" rank="0" text="" dxfId="0">
      <formula>"ALTO"</formula>
    </cfRule>
    <cfRule type="cellIs" priority="3" operator="equal" aboveAverage="0" equalAverage="0" bottom="0" percent="0" rank="0" text="" dxfId="1">
      <formula>"BAJO"</formula>
    </cfRule>
    <cfRule type="cellIs" priority="4" operator="equal" aboveAverage="0" equalAverage="0" bottom="0" percent="0" rank="0" text="" dxfId="2">
      <formula>"EN MERCADO"</formula>
    </cfRule>
    <cfRule type="cellIs" priority="5" operator="equal" aboveAverage="0" equalAverage="0" bottom="0" percent="0" rank="0" text="" dxfId="3">
      <formula>"MIXTO"</formula>
    </cfRule>
    <cfRule type="cellIs" priority="6" operator="equal" aboveAverage="0" equalAverage="0" bottom="0" percent="0" rank="0" text="" dxfId="3">
      <formula>"NO CONCLUYENTE"</formula>
    </cfRule>
    <cfRule type="cellIs" priority="7" operator="equal" aboveAverage="0" equalAverage="0" bottom="0" percent="0" rank="0" text="" dxfId="3">
      <formula>"SIN DATOS SUFICIENTES"</formula>
    </cfRule>
  </conditionalFormatting>
  <conditionalFormatting sqref="L5">
    <cfRule type="cellIs" priority="8" operator="equal" aboveAverage="0" equalAverage="0" bottom="0" percent="0" rank="0" text="" dxfId="0">
      <formula>"ALTO"</formula>
    </cfRule>
    <cfRule type="cellIs" priority="9" operator="equal" aboveAverage="0" equalAverage="0" bottom="0" percent="0" rank="0" text="" dxfId="1">
      <formula>"BAJO"</formula>
    </cfRule>
    <cfRule type="cellIs" priority="10" operator="equal" aboveAverage="0" equalAverage="0" bottom="0" percent="0" rank="0" text="" dxfId="2">
      <formula>"EN MERCADO"</formula>
    </cfRule>
    <cfRule type="cellIs" priority="11" operator="equal" aboveAverage="0" equalAverage="0" bottom="0" percent="0" rank="0" text="" dxfId="3">
      <formula>"MIXTO"</formula>
    </cfRule>
    <cfRule type="cellIs" priority="12" operator="equal" aboveAverage="0" equalAverage="0" bottom="0" percent="0" rank="0" text="" dxfId="3">
      <formula>"NO CONCLUYENTE"</formula>
    </cfRule>
    <cfRule type="cellIs" priority="13" operator="equal" aboveAverage="0" equalAverage="0" bottom="0" percent="0" rank="0" text="" dxfId="3">
      <formula>"SIN DATOS SUFICIENTES"</formula>
    </cfRule>
  </conditionalFormatting>
  <conditionalFormatting sqref="P5">
    <cfRule type="cellIs" priority="14" operator="equal" aboveAverage="0" equalAverage="0" bottom="0" percent="0" rank="0" text="" dxfId="0">
      <formula>"ALTO"</formula>
    </cfRule>
    <cfRule type="cellIs" priority="15" operator="equal" aboveAverage="0" equalAverage="0" bottom="0" percent="0" rank="0" text="" dxfId="1">
      <formula>"BAJO"</formula>
    </cfRule>
    <cfRule type="cellIs" priority="16" operator="equal" aboveAverage="0" equalAverage="0" bottom="0" percent="0" rank="0" text="" dxfId="2">
      <formula>"EN MERCADO"</formula>
    </cfRule>
    <cfRule type="cellIs" priority="17" operator="equal" aboveAverage="0" equalAverage="0" bottom="0" percent="0" rank="0" text="" dxfId="3">
      <formula>"MIXTO"</formula>
    </cfRule>
    <cfRule type="cellIs" priority="18" operator="equal" aboveAverage="0" equalAverage="0" bottom="0" percent="0" rank="0" text="" dxfId="3">
      <formula>"NO CONCLUYENTE"</formula>
    </cfRule>
    <cfRule type="cellIs" priority="19" operator="equal" aboveAverage="0" equalAverage="0" bottom="0" percent="0" rank="0" text="" dxfId="3">
      <formula>"SIN DATOS SUFICIENTES"</formula>
    </cfRule>
  </conditionalFormatting>
  <conditionalFormatting sqref="T5">
    <cfRule type="cellIs" priority="20" operator="equal" aboveAverage="0" equalAverage="0" bottom="0" percent="0" rank="0" text="" dxfId="0">
      <formula>"ALTO"</formula>
    </cfRule>
    <cfRule type="cellIs" priority="21" operator="equal" aboveAverage="0" equalAverage="0" bottom="0" percent="0" rank="0" text="" dxfId="1">
      <formula>"BAJO"</formula>
    </cfRule>
    <cfRule type="cellIs" priority="22" operator="equal" aboveAverage="0" equalAverage="0" bottom="0" percent="0" rank="0" text="" dxfId="2">
      <formula>"EN MERCADO"</formula>
    </cfRule>
    <cfRule type="cellIs" priority="23" operator="equal" aboveAverage="0" equalAverage="0" bottom="0" percent="0" rank="0" text="" dxfId="3">
      <formula>"MIXTO"</formula>
    </cfRule>
    <cfRule type="cellIs" priority="24" operator="equal" aboveAverage="0" equalAverage="0" bottom="0" percent="0" rank="0" text="" dxfId="3">
      <formula>"NO CONCLUYENTE"</formula>
    </cfRule>
    <cfRule type="cellIs" priority="25" operator="equal" aboveAverage="0" equalAverage="0" bottom="0" percent="0" rank="0" text="" dxfId="3">
      <formula>"SIN DATOS SUFICIENTES"</formula>
    </cfRule>
  </conditionalFormatting>
  <conditionalFormatting sqref="H6">
    <cfRule type="cellIs" priority="26" operator="equal" aboveAverage="0" equalAverage="0" bottom="0" percent="0" rank="0" text="" dxfId="0">
      <formula>"ALTO"</formula>
    </cfRule>
    <cfRule type="cellIs" priority="27" operator="equal" aboveAverage="0" equalAverage="0" bottom="0" percent="0" rank="0" text="" dxfId="1">
      <formula>"BAJO"</formula>
    </cfRule>
    <cfRule type="cellIs" priority="28" operator="equal" aboveAverage="0" equalAverage="0" bottom="0" percent="0" rank="0" text="" dxfId="2">
      <formula>"EN MERCADO"</formula>
    </cfRule>
    <cfRule type="cellIs" priority="29" operator="equal" aboveAverage="0" equalAverage="0" bottom="0" percent="0" rank="0" text="" dxfId="3">
      <formula>"MIXTO"</formula>
    </cfRule>
    <cfRule type="cellIs" priority="30" operator="equal" aboveAverage="0" equalAverage="0" bottom="0" percent="0" rank="0" text="" dxfId="3">
      <formula>"NO CONCLUYENTE"</formula>
    </cfRule>
    <cfRule type="cellIs" priority="31" operator="equal" aboveAverage="0" equalAverage="0" bottom="0" percent="0" rank="0" text="" dxfId="3">
      <formula>"SIN DATOS SUFICIENTES"</formula>
    </cfRule>
  </conditionalFormatting>
  <conditionalFormatting sqref="L6">
    <cfRule type="cellIs" priority="32" operator="equal" aboveAverage="0" equalAverage="0" bottom="0" percent="0" rank="0" text="" dxfId="0">
      <formula>"ALTO"</formula>
    </cfRule>
    <cfRule type="cellIs" priority="33" operator="equal" aboveAverage="0" equalAverage="0" bottom="0" percent="0" rank="0" text="" dxfId="1">
      <formula>"BAJO"</formula>
    </cfRule>
    <cfRule type="cellIs" priority="34" operator="equal" aboveAverage="0" equalAverage="0" bottom="0" percent="0" rank="0" text="" dxfId="2">
      <formula>"EN MERCADO"</formula>
    </cfRule>
    <cfRule type="cellIs" priority="35" operator="equal" aboveAverage="0" equalAverage="0" bottom="0" percent="0" rank="0" text="" dxfId="3">
      <formula>"MIXTO"</formula>
    </cfRule>
    <cfRule type="cellIs" priority="36" operator="equal" aboveAverage="0" equalAverage="0" bottom="0" percent="0" rank="0" text="" dxfId="3">
      <formula>"NO CONCLUYENTE"</formula>
    </cfRule>
    <cfRule type="cellIs" priority="37" operator="equal" aboveAverage="0" equalAverage="0" bottom="0" percent="0" rank="0" text="" dxfId="3">
      <formula>"SIN DATOS SUFICIENTES"</formula>
    </cfRule>
  </conditionalFormatting>
  <conditionalFormatting sqref="P6">
    <cfRule type="cellIs" priority="38" operator="equal" aboveAverage="0" equalAverage="0" bottom="0" percent="0" rank="0" text="" dxfId="0">
      <formula>"ALTO"</formula>
    </cfRule>
    <cfRule type="cellIs" priority="39" operator="equal" aboveAverage="0" equalAverage="0" bottom="0" percent="0" rank="0" text="" dxfId="1">
      <formula>"BAJO"</formula>
    </cfRule>
    <cfRule type="cellIs" priority="40" operator="equal" aboveAverage="0" equalAverage="0" bottom="0" percent="0" rank="0" text="" dxfId="2">
      <formula>"EN MERCADO"</formula>
    </cfRule>
    <cfRule type="cellIs" priority="41" operator="equal" aboveAverage="0" equalAverage="0" bottom="0" percent="0" rank="0" text="" dxfId="3">
      <formula>"MIXTO"</formula>
    </cfRule>
    <cfRule type="cellIs" priority="42" operator="equal" aboveAverage="0" equalAverage="0" bottom="0" percent="0" rank="0" text="" dxfId="3">
      <formula>"NO CONCLUYENTE"</formula>
    </cfRule>
    <cfRule type="cellIs" priority="43" operator="equal" aboveAverage="0" equalAverage="0" bottom="0" percent="0" rank="0" text="" dxfId="3">
      <formula>"SIN DATOS SUFICIENTES"</formula>
    </cfRule>
  </conditionalFormatting>
  <conditionalFormatting sqref="T6">
    <cfRule type="cellIs" priority="44" operator="equal" aboveAverage="0" equalAverage="0" bottom="0" percent="0" rank="0" text="" dxfId="0">
      <formula>"ALTO"</formula>
    </cfRule>
    <cfRule type="cellIs" priority="45" operator="equal" aboveAverage="0" equalAverage="0" bottom="0" percent="0" rank="0" text="" dxfId="1">
      <formula>"BAJO"</formula>
    </cfRule>
    <cfRule type="cellIs" priority="46" operator="equal" aboveAverage="0" equalAverage="0" bottom="0" percent="0" rank="0" text="" dxfId="2">
      <formula>"EN MERCADO"</formula>
    </cfRule>
    <cfRule type="cellIs" priority="47" operator="equal" aboveAverage="0" equalAverage="0" bottom="0" percent="0" rank="0" text="" dxfId="3">
      <formula>"MIXTO"</formula>
    </cfRule>
    <cfRule type="cellIs" priority="48" operator="equal" aboveAverage="0" equalAverage="0" bottom="0" percent="0" rank="0" text="" dxfId="3">
      <formula>"NO CONCLUYENTE"</formula>
    </cfRule>
    <cfRule type="cellIs" priority="49" operator="equal" aboveAverage="0" equalAverage="0" bottom="0" percent="0" rank="0" text="" dxfId="3">
      <formula>"SIN DATOS SUFICIENTES"</formula>
    </cfRule>
  </conditionalFormatting>
  <conditionalFormatting sqref="H7">
    <cfRule type="cellIs" priority="50" operator="equal" aboveAverage="0" equalAverage="0" bottom="0" percent="0" rank="0" text="" dxfId="0">
      <formula>"ALTO"</formula>
    </cfRule>
    <cfRule type="cellIs" priority="51" operator="equal" aboveAverage="0" equalAverage="0" bottom="0" percent="0" rank="0" text="" dxfId="1">
      <formula>"BAJO"</formula>
    </cfRule>
    <cfRule type="cellIs" priority="52" operator="equal" aboveAverage="0" equalAverage="0" bottom="0" percent="0" rank="0" text="" dxfId="2">
      <formula>"EN MERCADO"</formula>
    </cfRule>
    <cfRule type="cellIs" priority="53" operator="equal" aboveAverage="0" equalAverage="0" bottom="0" percent="0" rank="0" text="" dxfId="3">
      <formula>"MIXTO"</formula>
    </cfRule>
    <cfRule type="cellIs" priority="54" operator="equal" aboveAverage="0" equalAverage="0" bottom="0" percent="0" rank="0" text="" dxfId="3">
      <formula>"NO CONCLUYENTE"</formula>
    </cfRule>
    <cfRule type="cellIs" priority="55" operator="equal" aboveAverage="0" equalAverage="0" bottom="0" percent="0" rank="0" text="" dxfId="3">
      <formula>"SIN DATOS SUFICIENTES"</formula>
    </cfRule>
  </conditionalFormatting>
  <conditionalFormatting sqref="L7">
    <cfRule type="cellIs" priority="56" operator="equal" aboveAverage="0" equalAverage="0" bottom="0" percent="0" rank="0" text="" dxfId="0">
      <formula>"ALTO"</formula>
    </cfRule>
    <cfRule type="cellIs" priority="57" operator="equal" aboveAverage="0" equalAverage="0" bottom="0" percent="0" rank="0" text="" dxfId="1">
      <formula>"BAJO"</formula>
    </cfRule>
    <cfRule type="cellIs" priority="58" operator="equal" aboveAverage="0" equalAverage="0" bottom="0" percent="0" rank="0" text="" dxfId="2">
      <formula>"EN MERCADO"</formula>
    </cfRule>
    <cfRule type="cellIs" priority="59" operator="equal" aboveAverage="0" equalAverage="0" bottom="0" percent="0" rank="0" text="" dxfId="3">
      <formula>"MIXTO"</formula>
    </cfRule>
    <cfRule type="cellIs" priority="60" operator="equal" aboveAverage="0" equalAverage="0" bottom="0" percent="0" rank="0" text="" dxfId="3">
      <formula>"NO CONCLUYENTE"</formula>
    </cfRule>
    <cfRule type="cellIs" priority="61" operator="equal" aboveAverage="0" equalAverage="0" bottom="0" percent="0" rank="0" text="" dxfId="3">
      <formula>"SIN DATOS SUFICIENTES"</formula>
    </cfRule>
  </conditionalFormatting>
  <conditionalFormatting sqref="P7">
    <cfRule type="cellIs" priority="62" operator="equal" aboveAverage="0" equalAverage="0" bottom="0" percent="0" rank="0" text="" dxfId="0">
      <formula>"ALTO"</formula>
    </cfRule>
    <cfRule type="cellIs" priority="63" operator="equal" aboveAverage="0" equalAverage="0" bottom="0" percent="0" rank="0" text="" dxfId="1">
      <formula>"BAJO"</formula>
    </cfRule>
    <cfRule type="cellIs" priority="64" operator="equal" aboveAverage="0" equalAverage="0" bottom="0" percent="0" rank="0" text="" dxfId="2">
      <formula>"EN MERCADO"</formula>
    </cfRule>
    <cfRule type="cellIs" priority="65" operator="equal" aboveAverage="0" equalAverage="0" bottom="0" percent="0" rank="0" text="" dxfId="3">
      <formula>"MIXTO"</formula>
    </cfRule>
    <cfRule type="cellIs" priority="66" operator="equal" aboveAverage="0" equalAverage="0" bottom="0" percent="0" rank="0" text="" dxfId="3">
      <formula>"NO CONCLUYENTE"</formula>
    </cfRule>
    <cfRule type="cellIs" priority="67" operator="equal" aboveAverage="0" equalAverage="0" bottom="0" percent="0" rank="0" text="" dxfId="3">
      <formula>"SIN DATOS SUFICIENTES"</formula>
    </cfRule>
  </conditionalFormatting>
  <conditionalFormatting sqref="T7">
    <cfRule type="cellIs" priority="68" operator="equal" aboveAverage="0" equalAverage="0" bottom="0" percent="0" rank="0" text="" dxfId="0">
      <formula>"ALTO"</formula>
    </cfRule>
    <cfRule type="cellIs" priority="69" operator="equal" aboveAverage="0" equalAverage="0" bottom="0" percent="0" rank="0" text="" dxfId="1">
      <formula>"BAJO"</formula>
    </cfRule>
    <cfRule type="cellIs" priority="70" operator="equal" aboveAverage="0" equalAverage="0" bottom="0" percent="0" rank="0" text="" dxfId="2">
      <formula>"EN MERCADO"</formula>
    </cfRule>
    <cfRule type="cellIs" priority="71" operator="equal" aboveAverage="0" equalAverage="0" bottom="0" percent="0" rank="0" text="" dxfId="3">
      <formula>"MIXTO"</formula>
    </cfRule>
    <cfRule type="cellIs" priority="72" operator="equal" aboveAverage="0" equalAverage="0" bottom="0" percent="0" rank="0" text="" dxfId="3">
      <formula>"NO CONCLUYENTE"</formula>
    </cfRule>
    <cfRule type="cellIs" priority="73" operator="equal" aboveAverage="0" equalAverage="0" bottom="0" percent="0" rank="0" text="" dxfId="3">
      <formula>"SIN DATOS SUFICIENTES"</formula>
    </cfRule>
  </conditionalFormatting>
  <conditionalFormatting sqref="H8">
    <cfRule type="cellIs" priority="74" operator="equal" aboveAverage="0" equalAverage="0" bottom="0" percent="0" rank="0" text="" dxfId="0">
      <formula>"ALTO"</formula>
    </cfRule>
    <cfRule type="cellIs" priority="75" operator="equal" aboveAverage="0" equalAverage="0" bottom="0" percent="0" rank="0" text="" dxfId="1">
      <formula>"BAJO"</formula>
    </cfRule>
    <cfRule type="cellIs" priority="76" operator="equal" aboveAverage="0" equalAverage="0" bottom="0" percent="0" rank="0" text="" dxfId="2">
      <formula>"EN MERCADO"</formula>
    </cfRule>
    <cfRule type="cellIs" priority="77" operator="equal" aboveAverage="0" equalAverage="0" bottom="0" percent="0" rank="0" text="" dxfId="3">
      <formula>"MIXTO"</formula>
    </cfRule>
    <cfRule type="cellIs" priority="78" operator="equal" aboveAverage="0" equalAverage="0" bottom="0" percent="0" rank="0" text="" dxfId="3">
      <formula>"NO CONCLUYENTE"</formula>
    </cfRule>
    <cfRule type="cellIs" priority="79" operator="equal" aboveAverage="0" equalAverage="0" bottom="0" percent="0" rank="0" text="" dxfId="3">
      <formula>"SIN DATOS SUFICIENTES"</formula>
    </cfRule>
  </conditionalFormatting>
  <conditionalFormatting sqref="L8">
    <cfRule type="cellIs" priority="80" operator="equal" aboveAverage="0" equalAverage="0" bottom="0" percent="0" rank="0" text="" dxfId="0">
      <formula>"ALTO"</formula>
    </cfRule>
    <cfRule type="cellIs" priority="81" operator="equal" aboveAverage="0" equalAverage="0" bottom="0" percent="0" rank="0" text="" dxfId="1">
      <formula>"BAJO"</formula>
    </cfRule>
    <cfRule type="cellIs" priority="82" operator="equal" aboveAverage="0" equalAverage="0" bottom="0" percent="0" rank="0" text="" dxfId="2">
      <formula>"EN MERCADO"</formula>
    </cfRule>
    <cfRule type="cellIs" priority="83" operator="equal" aboveAverage="0" equalAverage="0" bottom="0" percent="0" rank="0" text="" dxfId="3">
      <formula>"MIXTO"</formula>
    </cfRule>
    <cfRule type="cellIs" priority="84" operator="equal" aboveAverage="0" equalAverage="0" bottom="0" percent="0" rank="0" text="" dxfId="3">
      <formula>"NO CONCLUYENTE"</formula>
    </cfRule>
    <cfRule type="cellIs" priority="85" operator="equal" aboveAverage="0" equalAverage="0" bottom="0" percent="0" rank="0" text="" dxfId="3">
      <formula>"SIN DATOS SUFICIENTES"</formula>
    </cfRule>
  </conditionalFormatting>
  <conditionalFormatting sqref="P8">
    <cfRule type="cellIs" priority="86" operator="equal" aboveAverage="0" equalAverage="0" bottom="0" percent="0" rank="0" text="" dxfId="0">
      <formula>"ALTO"</formula>
    </cfRule>
    <cfRule type="cellIs" priority="87" operator="equal" aboveAverage="0" equalAverage="0" bottom="0" percent="0" rank="0" text="" dxfId="1">
      <formula>"BAJO"</formula>
    </cfRule>
    <cfRule type="cellIs" priority="88" operator="equal" aboveAverage="0" equalAverage="0" bottom="0" percent="0" rank="0" text="" dxfId="2">
      <formula>"EN MERCADO"</formula>
    </cfRule>
    <cfRule type="cellIs" priority="89" operator="equal" aboveAverage="0" equalAverage="0" bottom="0" percent="0" rank="0" text="" dxfId="3">
      <formula>"MIXTO"</formula>
    </cfRule>
    <cfRule type="cellIs" priority="90" operator="equal" aboveAverage="0" equalAverage="0" bottom="0" percent="0" rank="0" text="" dxfId="3">
      <formula>"NO CONCLUYENTE"</formula>
    </cfRule>
    <cfRule type="cellIs" priority="91" operator="equal" aboveAverage="0" equalAverage="0" bottom="0" percent="0" rank="0" text="" dxfId="3">
      <formula>"SIN DATOS SUFICIENTES"</formula>
    </cfRule>
  </conditionalFormatting>
  <conditionalFormatting sqref="T8">
    <cfRule type="cellIs" priority="92" operator="equal" aboveAverage="0" equalAverage="0" bottom="0" percent="0" rank="0" text="" dxfId="0">
      <formula>"ALTO"</formula>
    </cfRule>
    <cfRule type="cellIs" priority="93" operator="equal" aboveAverage="0" equalAverage="0" bottom="0" percent="0" rank="0" text="" dxfId="1">
      <formula>"BAJO"</formula>
    </cfRule>
    <cfRule type="cellIs" priority="94" operator="equal" aboveAverage="0" equalAverage="0" bottom="0" percent="0" rank="0" text="" dxfId="2">
      <formula>"EN MERCADO"</formula>
    </cfRule>
    <cfRule type="cellIs" priority="95" operator="equal" aboveAverage="0" equalAverage="0" bottom="0" percent="0" rank="0" text="" dxfId="3">
      <formula>"MIXTO"</formula>
    </cfRule>
    <cfRule type="cellIs" priority="96" operator="equal" aboveAverage="0" equalAverage="0" bottom="0" percent="0" rank="0" text="" dxfId="3">
      <formula>"NO CONCLUYENTE"</formula>
    </cfRule>
    <cfRule type="cellIs" priority="97" operator="equal" aboveAverage="0" equalAverage="0" bottom="0" percent="0" rank="0" text="" dxfId="3">
      <formula>"SIN DATOS SUFICIENTES"</formula>
    </cfRule>
  </conditionalFormatting>
  <conditionalFormatting sqref="F5:F8">
    <cfRule type="cellIs" priority="98" operator="equal" aboveAverage="0" equalAverage="0" bottom="0" percent="0" rank="0" text="" dxfId="4">
      <formula>"VALIDADA"</formula>
    </cfRule>
    <cfRule type="cellIs" priority="99" operator="equal" aboveAverage="0" equalAverage="0" bottom="0" percent="0" rank="0" text="" dxfId="5">
      <formula>"RECHAZADA"</formula>
    </cfRule>
    <cfRule type="cellIs" priority="100" operator="equal" aboveAverage="0" equalAverage="0" bottom="0" percent="0" rank="0" text="" dxfId="6">
      <formula>"NO CONCLUYENTE"</formula>
    </cfRule>
    <cfRule type="cellIs" priority="101" operator="equal" aboveAverage="0" equalAverage="0" bottom="0" percent="0" rank="0" text="" dxfId="7">
      <formula>"POR CONFIRMAR"</formula>
    </cfRule>
  </conditionalFormatting>
  <conditionalFormatting sqref="J5:J8">
    <cfRule type="cellIs" priority="102" operator="equal" aboveAverage="0" equalAverage="0" bottom="0" percent="0" rank="0" text="" dxfId="4">
      <formula>"VALIDADA"</formula>
    </cfRule>
    <cfRule type="cellIs" priority="103" operator="equal" aboveAverage="0" equalAverage="0" bottom="0" percent="0" rank="0" text="" dxfId="5">
      <formula>"RECHAZADA"</formula>
    </cfRule>
    <cfRule type="cellIs" priority="104" operator="equal" aboveAverage="0" equalAverage="0" bottom="0" percent="0" rank="0" text="" dxfId="6">
      <formula>"NO CONCLUYENTE"</formula>
    </cfRule>
    <cfRule type="cellIs" priority="105" operator="equal" aboveAverage="0" equalAverage="0" bottom="0" percent="0" rank="0" text="" dxfId="7">
      <formula>"POR CONFIRMAR"</formula>
    </cfRule>
  </conditionalFormatting>
  <conditionalFormatting sqref="N5:N8">
    <cfRule type="cellIs" priority="106" operator="equal" aboveAverage="0" equalAverage="0" bottom="0" percent="0" rank="0" text="" dxfId="4">
      <formula>"VALIDADA"</formula>
    </cfRule>
    <cfRule type="cellIs" priority="107" operator="equal" aboveAverage="0" equalAverage="0" bottom="0" percent="0" rank="0" text="" dxfId="5">
      <formula>"RECHAZADA"</formula>
    </cfRule>
    <cfRule type="cellIs" priority="108" operator="equal" aboveAverage="0" equalAverage="0" bottom="0" percent="0" rank="0" text="" dxfId="6">
      <formula>"NO CONCLUYENTE"</formula>
    </cfRule>
    <cfRule type="cellIs" priority="109" operator="equal" aboveAverage="0" equalAverage="0" bottom="0" percent="0" rank="0" text="" dxfId="7">
      <formula>"POR CONFIRMAR"</formula>
    </cfRule>
  </conditionalFormatting>
  <conditionalFormatting sqref="R5:R8">
    <cfRule type="cellIs" priority="110" operator="equal" aboveAverage="0" equalAverage="0" bottom="0" percent="0" rank="0" text="" dxfId="4">
      <formula>"VALIDADA"</formula>
    </cfRule>
    <cfRule type="cellIs" priority="111" operator="equal" aboveAverage="0" equalAverage="0" bottom="0" percent="0" rank="0" text="" dxfId="5">
      <formula>"RECHAZADA"</formula>
    </cfRule>
    <cfRule type="cellIs" priority="112" operator="equal" aboveAverage="0" equalAverage="0" bottom="0" percent="0" rank="0" text="" dxfId="6">
      <formula>"NO CONCLUYENTE"</formula>
    </cfRule>
    <cfRule type="cellIs" priority="113" operator="equal" aboveAverage="0" equalAverage="0" bottom="0" percent="0" rank="0" text="" dxfId="7">
      <formula>"POR CONFIRMAR"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5" min="4" style="0" width="16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44"/>
    <col collapsed="false" customWidth="true" hidden="false" outlineLevel="0" max="11" min="11" style="0" width="50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3" t="s">
        <v>2</v>
      </c>
      <c r="B4" s="3" t="s">
        <v>60</v>
      </c>
      <c r="C4" s="3" t="s">
        <v>4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</row>
    <row r="5" customFormat="false" ht="35.05" hidden="false" customHeight="false" outlineLevel="0" collapsed="false">
      <c r="A5" s="4" t="s">
        <v>15</v>
      </c>
      <c r="B5" s="5" t="s">
        <v>16</v>
      </c>
      <c r="C5" s="4" t="s">
        <v>17</v>
      </c>
      <c r="D5" s="10" t="s">
        <v>69</v>
      </c>
      <c r="E5" s="9" t="s">
        <v>55</v>
      </c>
      <c r="F5" s="5" t="s">
        <v>70</v>
      </c>
      <c r="G5" s="5"/>
      <c r="H5" s="4"/>
      <c r="I5" s="8"/>
      <c r="J5" s="5"/>
      <c r="K5" s="5"/>
    </row>
    <row r="6" customFormat="false" ht="35.05" hidden="false" customHeight="false" outlineLevel="0" collapsed="false">
      <c r="A6" s="4" t="s">
        <v>15</v>
      </c>
      <c r="B6" s="5" t="s">
        <v>16</v>
      </c>
      <c r="C6" s="4" t="s">
        <v>17</v>
      </c>
      <c r="D6" s="10" t="s">
        <v>20</v>
      </c>
      <c r="E6" s="9" t="s">
        <v>56</v>
      </c>
      <c r="F6" s="5" t="s">
        <v>71</v>
      </c>
      <c r="G6" s="5" t="s">
        <v>72</v>
      </c>
      <c r="H6" s="4" t="s">
        <v>73</v>
      </c>
      <c r="I6" s="8" t="n">
        <v>407.95</v>
      </c>
      <c r="J6" s="5"/>
      <c r="K6" s="5"/>
    </row>
    <row r="7" customFormat="false" ht="35.05" hidden="false" customHeight="false" outlineLevel="0" collapsed="false">
      <c r="A7" s="4" t="s">
        <v>15</v>
      </c>
      <c r="B7" s="5" t="s">
        <v>16</v>
      </c>
      <c r="C7" s="4" t="s">
        <v>17</v>
      </c>
      <c r="D7" s="10" t="s">
        <v>74</v>
      </c>
      <c r="E7" s="9" t="s">
        <v>56</v>
      </c>
      <c r="F7" s="5" t="s">
        <v>75</v>
      </c>
      <c r="G7" s="5" t="s">
        <v>76</v>
      </c>
      <c r="H7" s="4" t="s">
        <v>73</v>
      </c>
      <c r="I7" s="8" t="n">
        <v>548.14</v>
      </c>
      <c r="J7" s="5"/>
      <c r="K7" s="5"/>
    </row>
    <row r="8" customFormat="false" ht="35.05" hidden="false" customHeight="false" outlineLevel="0" collapsed="false">
      <c r="A8" s="4" t="s">
        <v>15</v>
      </c>
      <c r="B8" s="5" t="s">
        <v>16</v>
      </c>
      <c r="C8" s="4" t="s">
        <v>17</v>
      </c>
      <c r="D8" s="10" t="s">
        <v>77</v>
      </c>
      <c r="E8" s="9" t="s">
        <v>55</v>
      </c>
      <c r="F8" s="5" t="s">
        <v>78</v>
      </c>
      <c r="G8" s="5"/>
      <c r="H8" s="4"/>
      <c r="I8" s="8"/>
      <c r="J8" s="5"/>
      <c r="K8" s="5"/>
    </row>
    <row r="9" customFormat="false" ht="46.25" hidden="false" customHeight="false" outlineLevel="0" collapsed="false">
      <c r="A9" s="4" t="s">
        <v>22</v>
      </c>
      <c r="B9" s="5" t="s">
        <v>23</v>
      </c>
      <c r="C9" s="4" t="s">
        <v>24</v>
      </c>
      <c r="D9" s="10" t="s">
        <v>69</v>
      </c>
      <c r="E9" s="9" t="s">
        <v>55</v>
      </c>
      <c r="F9" s="5" t="s">
        <v>70</v>
      </c>
      <c r="G9" s="5"/>
      <c r="H9" s="4"/>
      <c r="I9" s="8"/>
      <c r="J9" s="5"/>
      <c r="K9" s="5"/>
    </row>
    <row r="10" customFormat="false" ht="46.25" hidden="false" customHeight="false" outlineLevel="0" collapsed="false">
      <c r="A10" s="4" t="s">
        <v>22</v>
      </c>
      <c r="B10" s="5" t="s">
        <v>23</v>
      </c>
      <c r="C10" s="4" t="s">
        <v>24</v>
      </c>
      <c r="D10" s="10" t="s">
        <v>20</v>
      </c>
      <c r="E10" s="9" t="s">
        <v>25</v>
      </c>
      <c r="F10" s="5" t="s">
        <v>79</v>
      </c>
      <c r="G10" s="5" t="s">
        <v>80</v>
      </c>
      <c r="H10" s="4" t="s">
        <v>81</v>
      </c>
      <c r="I10" s="8" t="n">
        <v>492.4</v>
      </c>
      <c r="J10" s="5" t="s">
        <v>82</v>
      </c>
      <c r="K10" s="5"/>
    </row>
    <row r="11" customFormat="false" ht="46.25" hidden="false" customHeight="false" outlineLevel="0" collapsed="false">
      <c r="A11" s="4" t="s">
        <v>22</v>
      </c>
      <c r="B11" s="5" t="s">
        <v>23</v>
      </c>
      <c r="C11" s="4" t="s">
        <v>24</v>
      </c>
      <c r="D11" s="10" t="s">
        <v>74</v>
      </c>
      <c r="E11" s="9" t="s">
        <v>55</v>
      </c>
      <c r="F11" s="5" t="s">
        <v>83</v>
      </c>
      <c r="G11" s="5"/>
      <c r="H11" s="4"/>
      <c r="I11" s="8"/>
      <c r="J11" s="5"/>
      <c r="K11" s="5"/>
    </row>
    <row r="12" customFormat="false" ht="46.25" hidden="false" customHeight="false" outlineLevel="0" collapsed="false">
      <c r="A12" s="4" t="s">
        <v>22</v>
      </c>
      <c r="B12" s="5" t="s">
        <v>23</v>
      </c>
      <c r="C12" s="4" t="s">
        <v>24</v>
      </c>
      <c r="D12" s="10" t="s">
        <v>77</v>
      </c>
      <c r="E12" s="9" t="s">
        <v>55</v>
      </c>
      <c r="F12" s="5" t="s">
        <v>78</v>
      </c>
      <c r="G12" s="5"/>
      <c r="H12" s="4"/>
      <c r="I12" s="8"/>
      <c r="J12" s="5"/>
      <c r="K12" s="5"/>
    </row>
    <row r="13" customFormat="false" ht="23.85" hidden="false" customHeight="false" outlineLevel="0" collapsed="false">
      <c r="A13" s="4" t="s">
        <v>28</v>
      </c>
      <c r="B13" s="5" t="s">
        <v>29</v>
      </c>
      <c r="C13" s="4" t="s">
        <v>17</v>
      </c>
      <c r="D13" s="10" t="s">
        <v>69</v>
      </c>
      <c r="E13" s="9" t="s">
        <v>55</v>
      </c>
      <c r="F13" s="5" t="s">
        <v>70</v>
      </c>
      <c r="G13" s="5"/>
      <c r="H13" s="4"/>
      <c r="I13" s="8"/>
      <c r="J13" s="5"/>
      <c r="K13" s="5"/>
    </row>
    <row r="14" customFormat="false" ht="68.65" hidden="false" customHeight="false" outlineLevel="0" collapsed="false">
      <c r="A14" s="4" t="s">
        <v>28</v>
      </c>
      <c r="B14" s="5" t="s">
        <v>29</v>
      </c>
      <c r="C14" s="4" t="s">
        <v>17</v>
      </c>
      <c r="D14" s="10" t="s">
        <v>20</v>
      </c>
      <c r="E14" s="9" t="s">
        <v>56</v>
      </c>
      <c r="F14" s="5" t="s">
        <v>71</v>
      </c>
      <c r="G14" s="5" t="s">
        <v>84</v>
      </c>
      <c r="H14" s="4" t="s">
        <v>73</v>
      </c>
      <c r="I14" s="8" t="n">
        <v>130.63</v>
      </c>
      <c r="J14" s="5"/>
      <c r="K14" s="5"/>
    </row>
    <row r="15" customFormat="false" ht="35.05" hidden="false" customHeight="false" outlineLevel="0" collapsed="false">
      <c r="A15" s="4" t="s">
        <v>28</v>
      </c>
      <c r="B15" s="5" t="s">
        <v>29</v>
      </c>
      <c r="C15" s="4" t="s">
        <v>17</v>
      </c>
      <c r="D15" s="10" t="s">
        <v>74</v>
      </c>
      <c r="E15" s="9" t="s">
        <v>57</v>
      </c>
      <c r="F15" s="5" t="s">
        <v>85</v>
      </c>
      <c r="G15" s="5" t="s">
        <v>86</v>
      </c>
      <c r="H15" s="4" t="s">
        <v>81</v>
      </c>
      <c r="I15" s="8" t="n">
        <v>219.12</v>
      </c>
      <c r="J15" s="5" t="s">
        <v>87</v>
      </c>
      <c r="K15" s="5"/>
    </row>
    <row r="16" customFormat="false" ht="23.85" hidden="false" customHeight="false" outlineLevel="0" collapsed="false">
      <c r="A16" s="4" t="s">
        <v>28</v>
      </c>
      <c r="B16" s="5" t="s">
        <v>29</v>
      </c>
      <c r="C16" s="4" t="s">
        <v>17</v>
      </c>
      <c r="D16" s="10" t="s">
        <v>77</v>
      </c>
      <c r="E16" s="9" t="s">
        <v>55</v>
      </c>
      <c r="F16" s="5" t="s">
        <v>88</v>
      </c>
      <c r="G16" s="5"/>
      <c r="H16" s="4"/>
      <c r="I16" s="8"/>
      <c r="J16" s="5"/>
      <c r="K16" s="5"/>
    </row>
    <row r="17" customFormat="false" ht="15" hidden="false" customHeight="false" outlineLevel="0" collapsed="false">
      <c r="A17" s="4" t="s">
        <v>31</v>
      </c>
      <c r="B17" s="5" t="s">
        <v>32</v>
      </c>
      <c r="C17" s="4" t="s">
        <v>33</v>
      </c>
      <c r="D17" s="10" t="s">
        <v>69</v>
      </c>
      <c r="E17" s="9" t="s">
        <v>55</v>
      </c>
      <c r="F17" s="5" t="s">
        <v>70</v>
      </c>
      <c r="G17" s="5"/>
      <c r="H17" s="4"/>
      <c r="I17" s="8"/>
      <c r="J17" s="5"/>
      <c r="K17" s="5"/>
    </row>
    <row r="18" customFormat="false" ht="35.05" hidden="false" customHeight="false" outlineLevel="0" collapsed="false">
      <c r="A18" s="4" t="s">
        <v>31</v>
      </c>
      <c r="B18" s="5" t="s">
        <v>32</v>
      </c>
      <c r="C18" s="4" t="s">
        <v>33</v>
      </c>
      <c r="D18" s="10" t="s">
        <v>20</v>
      </c>
      <c r="E18" s="9" t="s">
        <v>57</v>
      </c>
      <c r="F18" s="5" t="s">
        <v>85</v>
      </c>
      <c r="G18" s="5" t="s">
        <v>89</v>
      </c>
      <c r="H18" s="4" t="s">
        <v>90</v>
      </c>
      <c r="I18" s="8" t="n">
        <v>542.36</v>
      </c>
      <c r="J18" s="5" t="s">
        <v>87</v>
      </c>
      <c r="K18" s="5"/>
    </row>
    <row r="19" customFormat="false" ht="15" hidden="false" customHeight="false" outlineLevel="0" collapsed="false">
      <c r="A19" s="4" t="s">
        <v>31</v>
      </c>
      <c r="B19" s="5" t="s">
        <v>32</v>
      </c>
      <c r="C19" s="4" t="s">
        <v>33</v>
      </c>
      <c r="D19" s="10" t="s">
        <v>74</v>
      </c>
      <c r="E19" s="9" t="s">
        <v>55</v>
      </c>
      <c r="F19" s="5" t="s">
        <v>91</v>
      </c>
      <c r="G19" s="5"/>
      <c r="H19" s="4"/>
      <c r="I19" s="8"/>
      <c r="J19" s="5"/>
      <c r="K19" s="5"/>
    </row>
    <row r="20" customFormat="false" ht="35.05" hidden="false" customHeight="false" outlineLevel="0" collapsed="false">
      <c r="A20" s="4" t="s">
        <v>31</v>
      </c>
      <c r="B20" s="5" t="s">
        <v>32</v>
      </c>
      <c r="C20" s="4" t="s">
        <v>33</v>
      </c>
      <c r="D20" s="10" t="s">
        <v>77</v>
      </c>
      <c r="E20" s="9" t="s">
        <v>55</v>
      </c>
      <c r="F20" s="5" t="s">
        <v>92</v>
      </c>
      <c r="G20" s="5"/>
      <c r="H20" s="4"/>
      <c r="I20" s="8"/>
      <c r="J20" s="5"/>
      <c r="K20" s="5"/>
    </row>
  </sheetData>
  <mergeCells count="2">
    <mergeCell ref="A1:K1"/>
    <mergeCell ref="A2:K2"/>
  </mergeCells>
  <conditionalFormatting sqref="E5:E20">
    <cfRule type="cellIs" priority="2" operator="equal" aboveAverage="0" equalAverage="0" bottom="0" percent="0" rank="0" text="" dxfId="4">
      <formula>"VALIDADA"</formula>
    </cfRule>
    <cfRule type="cellIs" priority="3" operator="equal" aboveAverage="0" equalAverage="0" bottom="0" percent="0" rank="0" text="" dxfId="5">
      <formula>"RECHAZADA"</formula>
    </cfRule>
    <cfRule type="cellIs" priority="4" operator="equal" aboveAverage="0" equalAverage="0" bottom="0" percent="0" rank="0" text="" dxfId="6">
      <formula>"NO CONCLUYENTE"</formula>
    </cfRule>
    <cfRule type="cellIs" priority="5" operator="equal" aboveAverage="0" equalAverage="0" bottom="0" percent="0" rank="0" text="" dxfId="7">
      <formula>"POR CONFIRMAR"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93</v>
      </c>
      <c r="B1" s="1"/>
    </row>
    <row r="2" customFormat="false" ht="15" hidden="false" customHeight="false" outlineLevel="0" collapsed="false">
      <c r="A2" s="2" t="s">
        <v>94</v>
      </c>
      <c r="B2" s="2"/>
    </row>
    <row r="4" customFormat="false" ht="15" hidden="false" customHeight="false" outlineLevel="0" collapsed="false">
      <c r="A4" s="3" t="s">
        <v>95</v>
      </c>
      <c r="B4" s="3" t="s">
        <v>96</v>
      </c>
    </row>
    <row r="5" customFormat="false" ht="31.5" hidden="false" customHeight="true" outlineLevel="0" collapsed="false">
      <c r="A5" s="12" t="s">
        <v>97</v>
      </c>
      <c r="B5" s="5" t="s">
        <v>98</v>
      </c>
    </row>
    <row r="6" customFormat="false" ht="31.5" hidden="false" customHeight="true" outlineLevel="0" collapsed="false">
      <c r="A6" s="12" t="s">
        <v>99</v>
      </c>
      <c r="B6" s="5" t="s">
        <v>100</v>
      </c>
    </row>
    <row r="7" customFormat="false" ht="31.5" hidden="false" customHeight="true" outlineLevel="0" collapsed="false">
      <c r="A7" s="12" t="s">
        <v>101</v>
      </c>
      <c r="B7" s="5" t="s">
        <v>102</v>
      </c>
    </row>
    <row r="8" customFormat="false" ht="31.5" hidden="false" customHeight="true" outlineLevel="0" collapsed="false">
      <c r="A8" s="12" t="s">
        <v>103</v>
      </c>
      <c r="B8" s="5" t="s">
        <v>104</v>
      </c>
    </row>
    <row r="9" customFormat="false" ht="31.5" hidden="false" customHeight="true" outlineLevel="0" collapsed="false">
      <c r="A9" s="12" t="s">
        <v>105</v>
      </c>
      <c r="B9" s="5" t="s">
        <v>106</v>
      </c>
    </row>
    <row r="10" customFormat="false" ht="31.5" hidden="false" customHeight="true" outlineLevel="0" collapsed="false">
      <c r="A10" s="12" t="s">
        <v>107</v>
      </c>
      <c r="B10" s="5" t="s">
        <v>108</v>
      </c>
    </row>
    <row r="11" customFormat="false" ht="31.5" hidden="false" customHeight="true" outlineLevel="0" collapsed="false">
      <c r="A11" s="12" t="s">
        <v>8</v>
      </c>
      <c r="B11" s="5" t="s">
        <v>109</v>
      </c>
    </row>
    <row r="12" customFormat="false" ht="31.5" hidden="false" customHeight="true" outlineLevel="0" collapsed="false">
      <c r="A12" s="12" t="s">
        <v>20</v>
      </c>
      <c r="B12" s="5" t="s">
        <v>110</v>
      </c>
    </row>
    <row r="13" customFormat="false" ht="31.5" hidden="false" customHeight="true" outlineLevel="0" collapsed="false">
      <c r="A13" s="12" t="s">
        <v>74</v>
      </c>
      <c r="B13" s="5" t="s">
        <v>111</v>
      </c>
    </row>
    <row r="14" customFormat="false" ht="31.5" hidden="false" customHeight="true" outlineLevel="0" collapsed="false">
      <c r="A14" s="12" t="s">
        <v>69</v>
      </c>
      <c r="B14" s="5" t="s">
        <v>112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2026-09-30T22:27:44Z</dcterms:created>
  <dc:creator>openpyxl</dc:creator>
  <dc:description/>
  <dc:language>en-US</dc:language>
  <cp:lastModifiedBy/>
  <dcterms:modified xsi:type="dcterms:W3CDTF">2026-09-30T22:27:44Z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